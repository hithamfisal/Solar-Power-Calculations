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B542E59D-977F-411B-A94B-0F2B27119F1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euil3" sheetId="3" r:id="rId1"/>
    <sheet name="Feuil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7" i="2" l="1"/>
  <c r="Q70" i="2"/>
  <c r="R31" i="2"/>
  <c r="N19" i="2"/>
  <c r="N20" i="2"/>
  <c r="N21" i="2"/>
  <c r="N22" i="2"/>
  <c r="N23" i="2"/>
  <c r="N24" i="2"/>
  <c r="N25" i="2"/>
  <c r="N26" i="2"/>
  <c r="N27" i="2"/>
  <c r="N28" i="2"/>
  <c r="N29" i="2"/>
  <c r="N31" i="2"/>
  <c r="O19" i="2"/>
  <c r="O20" i="2"/>
  <c r="O21" i="2"/>
  <c r="O22" i="2"/>
  <c r="O23" i="2"/>
  <c r="O24" i="2"/>
  <c r="O25" i="2"/>
  <c r="O26" i="2"/>
  <c r="O27" i="2"/>
  <c r="O28" i="2"/>
  <c r="O29" i="2"/>
  <c r="O31" i="2"/>
  <c r="O48" i="2"/>
  <c r="P79" i="2"/>
  <c r="F7" i="3"/>
  <c r="G7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/>
  <c r="F6" i="3"/>
  <c r="G6" i="3" s="1"/>
  <c r="F5" i="3"/>
  <c r="G5" i="3"/>
  <c r="F4" i="3"/>
  <c r="G4" i="3"/>
  <c r="F3" i="3"/>
  <c r="G3" i="3"/>
  <c r="R124" i="2"/>
  <c r="F15" i="3"/>
  <c r="L21" i="3" s="1"/>
  <c r="G15" i="3" l="1"/>
  <c r="G21" i="3" s="1"/>
  <c r="L20" i="3" l="1"/>
  <c r="L19" i="3"/>
  <c r="L22" i="3" s="1"/>
</calcChain>
</file>

<file path=xl/sharedStrings.xml><?xml version="1.0" encoding="utf-8"?>
<sst xmlns="http://schemas.openxmlformats.org/spreadsheetml/2006/main" count="69" uniqueCount="55">
  <si>
    <t xml:space="preserve">Lampes </t>
  </si>
  <si>
    <t>TV</t>
  </si>
  <si>
    <t>TOTAL</t>
  </si>
  <si>
    <t xml:space="preserve"> Calculer la capacité des accumulateurs nécessaires à ce système ainsi que leur nombre</t>
  </si>
  <si>
    <t>C=Ec*N/D*U</t>
  </si>
  <si>
    <t>Recivre</t>
  </si>
  <si>
    <t>PT= w</t>
  </si>
  <si>
    <t>EC=wh</t>
  </si>
  <si>
    <t>PC</t>
  </si>
  <si>
    <t xml:space="preserve"> حساب كمية الطاقة المستهلكة في اليوم: وذلك بتطبيق المعادلات التالية:
</t>
  </si>
  <si>
    <r>
      <t>العدد × قدرة الجهاز × ساعات العمل=</t>
    </r>
    <r>
      <rPr>
        <sz val="18"/>
        <color rgb="FF000000"/>
        <rFont val="Inherit"/>
      </rPr>
      <t> </t>
    </r>
    <r>
      <rPr>
        <sz val="14"/>
        <color rgb="FF0000FF"/>
        <rFont val="Inherit"/>
      </rPr>
      <t>الطاقة التي يستهلكها الجهاز في اليوم.</t>
    </r>
  </si>
  <si>
    <t>الجهاز</t>
  </si>
  <si>
    <t>العدد</t>
  </si>
  <si>
    <t xml:space="preserve">قدرة الجهاز </t>
  </si>
  <si>
    <t>مدة الاشتغال</t>
  </si>
  <si>
    <t>مجموع القدرات</t>
  </si>
  <si>
    <t>الطاقة المستهلكة</t>
  </si>
  <si>
    <t xml:space="preserve">حساب الفقد أثناء التركيب </t>
  </si>
  <si>
    <t>Ep</t>
  </si>
  <si>
    <t>Wh</t>
  </si>
  <si>
    <t>حساب عدد الالواح الشمسية</t>
  </si>
  <si>
    <t xml:space="preserve">عدد الألواح = طاقة الألواح اللازمة ÷ قدرة اللوح الذي نريد شراءه,                                  </t>
  </si>
  <si>
    <t xml:space="preserve">Ep =Ec/K           Ep =Ec/0,65    </t>
  </si>
  <si>
    <t xml:space="preserve">         لمعرفة طاقة الألواح الشمسية يجب قسمة الطاقة المراد توليدها على معدل الإشعاع الشمسي في اليوم للمنطقة التي سيتم تركيب الألواح فيها,ما بين 4  إلى 6.3 وهو من أعلى النسب في العالم.
إذن طاقة الألواح اللازمة= EP ÷ 5  </t>
  </si>
  <si>
    <t>w</t>
  </si>
  <si>
    <t>متلا  لوح واط</t>
  </si>
  <si>
    <t>PC=</t>
  </si>
  <si>
    <t>N=</t>
  </si>
  <si>
    <t>Np=</t>
  </si>
  <si>
    <t>حساب عدد البطاريات:</t>
  </si>
  <si>
    <t xml:space="preserve">C : سعة البطاربات  ampère.heure (Ah)                                 EC : الطاقة المستهلكة في اليوم (Wh/j)                                     N : عدد الأيام المغيمة                                                              D:(0,8 pour les batteries au plomb)نسبة تفريغ البطاريات  U : توتر النظام (V) </t>
  </si>
  <si>
    <t xml:space="preserve">عدد البطاريات = سعة البطاريات ÷ حجم البطارية المراد شراؤها            </t>
  </si>
  <si>
    <t>N=C/80</t>
  </si>
  <si>
    <t>سنستخدم بطاريات Ah</t>
  </si>
  <si>
    <t>حجم المنظم الشمسي:</t>
  </si>
  <si>
    <t>فولطية النظام   v</t>
  </si>
  <si>
    <t>عدد الألواح</t>
  </si>
  <si>
    <t>Ep =Ec/0,65</t>
  </si>
  <si>
    <t>معدل الاشعاع الشمسي</t>
  </si>
  <si>
    <t>نسبة تفريغ البطارية %</t>
  </si>
  <si>
    <t xml:space="preserve">عدد الأيام المغيمة </t>
  </si>
  <si>
    <t xml:space="preserve"> 2 = بطاريات 80 امبير في الساعة</t>
  </si>
  <si>
    <t>المحول المناسب W</t>
  </si>
  <si>
    <t>عدد الألواح المخطط تركيبها في المنظومة × Isc (اعلى أمبير شحن للوح)
ففي مثالنا
حجم المنظم الشمسي = 2 × 8.5 = 17 أمبير تقريبا. 2 تعني عدد السترينغ على التوازي ,
ويفضل مضاعفة الحجم لاخذ الاحتياط في المستقبل إذا اردنا توسيع المنظومة للعمل لوقت أطول أو لإضافة اجهزة اخرى.</t>
  </si>
  <si>
    <t>تيار ICS اللوح A</t>
  </si>
  <si>
    <t>قدرة اللوح W</t>
  </si>
  <si>
    <t>توتر اللوح V</t>
  </si>
  <si>
    <t xml:space="preserve">استطاعة البطاريةAh </t>
  </si>
  <si>
    <t xml:space="preserve">   الفقد أثناء التركيب </t>
  </si>
  <si>
    <t xml:space="preserve"> تيار منظم الشحن A  </t>
  </si>
  <si>
    <t xml:space="preserve">عدد البطاريات  </t>
  </si>
  <si>
    <t>ملاحظة :لا تغيير أي شئ بهدا اللون</t>
  </si>
  <si>
    <t>Phone</t>
  </si>
  <si>
    <t>Fans</t>
  </si>
  <si>
    <t>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</si>
</sst>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8"/>
      <color rgb="FF000000"/>
      <name val="Inherit"/>
    </font>
    <font>
      <sz val="14"/>
      <color rgb="FF38761D"/>
      <name val="Inherit"/>
    </font>
    <font>
      <sz val="14"/>
      <color rgb="FF0000FF"/>
      <name val="Inherit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sz val="16"/>
      <color theme="4"/>
      <name val="Calibri"/>
      <family val="2"/>
      <scheme val="minor"/>
    </font>
    <font>
      <b/>
      <sz val="20"/>
      <color theme="3"/>
      <name val="Calibri"/>
      <family val="2"/>
      <scheme val="minor"/>
    </font>
    <font>
      <sz val="20"/>
      <color rgb="FF38761D"/>
      <name val="Web-Ponto"/>
    </font>
    <font>
      <sz val="14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7" xfId="0" applyBorder="1" applyAlignment="1">
      <alignment vertical="top"/>
    </xf>
    <xf numFmtId="0" fontId="0" fillId="0" borderId="0" xfId="0" applyAlignment="1">
      <alignment vertical="top"/>
    </xf>
    <xf numFmtId="0" fontId="5" fillId="0" borderId="22" xfId="0" applyFont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0" fontId="21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2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2" fontId="15" fillId="0" borderId="4" xfId="0" applyNumberFormat="1" applyFont="1" applyBorder="1"/>
    <xf numFmtId="0" fontId="0" fillId="0" borderId="17" xfId="0" applyBorder="1"/>
    <xf numFmtId="0" fontId="4" fillId="0" borderId="0" xfId="0" applyFont="1"/>
    <xf numFmtId="0" fontId="14" fillId="0" borderId="0" xfId="0" applyFont="1"/>
    <xf numFmtId="0" fontId="15" fillId="0" borderId="2" xfId="0" applyFont="1" applyBorder="1"/>
    <xf numFmtId="0" fontId="20" fillId="0" borderId="0" xfId="0" applyFont="1"/>
    <xf numFmtId="0" fontId="0" fillId="3" borderId="7" xfId="0" applyFill="1" applyBorder="1"/>
    <xf numFmtId="0" fontId="0" fillId="3" borderId="0" xfId="0" applyFill="1"/>
    <xf numFmtId="0" fontId="0" fillId="3" borderId="8" xfId="0" applyFill="1" applyBorder="1"/>
    <xf numFmtId="0" fontId="7" fillId="3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 wrapText="1"/>
    </xf>
    <xf numFmtId="0" fontId="2" fillId="3" borderId="0" xfId="0" applyFont="1" applyFill="1"/>
    <xf numFmtId="0" fontId="5" fillId="3" borderId="22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3" fillId="3" borderId="0" xfId="0" applyFont="1" applyFill="1"/>
    <xf numFmtId="0" fontId="5" fillId="3" borderId="24" xfId="0" applyFont="1" applyFill="1" applyBorder="1" applyAlignment="1">
      <alignment horizontal="center"/>
    </xf>
    <xf numFmtId="1" fontId="0" fillId="3" borderId="0" xfId="0" applyNumberFormat="1" applyFill="1"/>
    <xf numFmtId="0" fontId="8" fillId="2" borderId="1" xfId="0" applyFont="1" applyFill="1" applyBorder="1"/>
    <xf numFmtId="0" fontId="8" fillId="2" borderId="19" xfId="0" applyFont="1" applyFill="1" applyBorder="1"/>
    <xf numFmtId="0" fontId="8" fillId="4" borderId="18" xfId="0" applyFont="1" applyFill="1" applyBorder="1"/>
    <xf numFmtId="0" fontId="8" fillId="4" borderId="1" xfId="0" applyFont="1" applyFill="1" applyBorder="1"/>
    <xf numFmtId="0" fontId="8" fillId="4" borderId="20" xfId="0" applyFont="1" applyFill="1" applyBorder="1"/>
    <xf numFmtId="0" fontId="8" fillId="4" borderId="21" xfId="0" applyFont="1" applyFill="1" applyBorder="1"/>
    <xf numFmtId="0" fontId="8" fillId="5" borderId="18" xfId="0" applyFont="1" applyFill="1" applyBorder="1"/>
    <xf numFmtId="0" fontId="8" fillId="5" borderId="1" xfId="0" applyFont="1" applyFill="1" applyBorder="1"/>
    <xf numFmtId="0" fontId="8" fillId="5" borderId="25" xfId="0" applyFont="1" applyFill="1" applyBorder="1"/>
    <xf numFmtId="0" fontId="8" fillId="5" borderId="26" xfId="0" applyFont="1" applyFill="1" applyBorder="1"/>
    <xf numFmtId="0" fontId="5" fillId="3" borderId="0" xfId="0" applyFont="1" applyFill="1" applyAlignment="1">
      <alignment horizontal="center"/>
    </xf>
    <xf numFmtId="0" fontId="2" fillId="4" borderId="29" xfId="0" applyFont="1" applyFill="1" applyBorder="1"/>
    <xf numFmtId="0" fontId="16" fillId="4" borderId="30" xfId="0" applyFont="1" applyFill="1" applyBorder="1" applyAlignment="1">
      <alignment horizontal="center" vertical="center"/>
    </xf>
    <xf numFmtId="0" fontId="2" fillId="5" borderId="18" xfId="0" applyFont="1" applyFill="1" applyBorder="1"/>
    <xf numFmtId="0" fontId="16" fillId="5" borderId="19" xfId="0" applyFont="1" applyFill="1" applyBorder="1" applyAlignment="1">
      <alignment horizontal="center" vertical="center"/>
    </xf>
    <xf numFmtId="0" fontId="2" fillId="4" borderId="18" xfId="0" applyFont="1" applyFill="1" applyBorder="1"/>
    <xf numFmtId="0" fontId="16" fillId="4" borderId="19" xfId="0" applyFont="1" applyFill="1" applyBorder="1" applyAlignment="1">
      <alignment horizontal="center" vertical="center"/>
    </xf>
    <xf numFmtId="0" fontId="2" fillId="4" borderId="31" xfId="0" applyFont="1" applyFill="1" applyBorder="1"/>
    <xf numFmtId="0" fontId="16" fillId="4" borderId="32" xfId="0" applyFont="1" applyFill="1" applyBorder="1" applyAlignment="1">
      <alignment horizontal="center" vertical="center"/>
    </xf>
    <xf numFmtId="0" fontId="2" fillId="5" borderId="20" xfId="0" applyFont="1" applyFill="1" applyBorder="1"/>
    <xf numFmtId="0" fontId="16" fillId="5" borderId="33" xfId="0" applyFont="1" applyFill="1" applyBorder="1" applyAlignment="1">
      <alignment horizontal="center" vertical="center"/>
    </xf>
    <xf numFmtId="0" fontId="8" fillId="2" borderId="26" xfId="0" applyFont="1" applyFill="1" applyBorder="1"/>
    <xf numFmtId="0" fontId="8" fillId="2" borderId="27" xfId="0" applyFont="1" applyFill="1" applyBorder="1"/>
    <xf numFmtId="0" fontId="15" fillId="2" borderId="24" xfId="0" applyFont="1" applyFill="1" applyBorder="1" applyAlignment="1">
      <alignment horizontal="center"/>
    </xf>
    <xf numFmtId="0" fontId="0" fillId="2" borderId="2" xfId="0" applyFill="1" applyBorder="1"/>
    <xf numFmtId="0" fontId="6" fillId="3" borderId="0" xfId="0" applyFont="1" applyFill="1"/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 wrapText="1"/>
    </xf>
    <xf numFmtId="0" fontId="8" fillId="0" borderId="18" xfId="0" applyFont="1" applyBorder="1"/>
    <xf numFmtId="0" fontId="8" fillId="0" borderId="1" xfId="0" applyFont="1" applyBorder="1"/>
    <xf numFmtId="0" fontId="8" fillId="0" borderId="19" xfId="0" applyFont="1" applyBorder="1"/>
    <xf numFmtId="0" fontId="8" fillId="0" borderId="25" xfId="0" applyFont="1" applyBorder="1"/>
    <xf numFmtId="0" fontId="8" fillId="0" borderId="26" xfId="0" applyFont="1" applyBorder="1"/>
    <xf numFmtId="0" fontId="8" fillId="0" borderId="27" xfId="0" applyFont="1" applyBorder="1"/>
    <xf numFmtId="0" fontId="8" fillId="0" borderId="20" xfId="0" applyFont="1" applyBorder="1"/>
    <xf numFmtId="0" fontId="8" fillId="0" borderId="21" xfId="0" applyFont="1" applyBorder="1"/>
    <xf numFmtId="0" fontId="15" fillId="0" borderId="0" xfId="0" applyFont="1"/>
    <xf numFmtId="0" fontId="8" fillId="0" borderId="0" xfId="0" applyFont="1"/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4" fillId="0" borderId="17" xfId="0" applyFont="1" applyBorder="1" applyAlignment="1">
      <alignment horizontal="right" vertical="center" wrapText="1"/>
    </xf>
    <xf numFmtId="0" fontId="24" fillId="0" borderId="5" xfId="0" applyFont="1" applyBorder="1" applyAlignment="1">
      <alignment horizontal="right" vertical="center"/>
    </xf>
    <xf numFmtId="0" fontId="24" fillId="0" borderId="6" xfId="0" applyFont="1" applyBorder="1" applyAlignment="1">
      <alignment horizontal="right" vertical="center"/>
    </xf>
    <xf numFmtId="0" fontId="24" fillId="0" borderId="7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8" xfId="0" applyFont="1" applyBorder="1" applyAlignment="1">
      <alignment horizontal="right" vertical="center"/>
    </xf>
    <xf numFmtId="0" fontId="24" fillId="0" borderId="9" xfId="0" applyFont="1" applyBorder="1" applyAlignment="1">
      <alignment horizontal="right" vertical="center"/>
    </xf>
    <xf numFmtId="0" fontId="24" fillId="0" borderId="10" xfId="0" applyFont="1" applyBorder="1" applyAlignment="1">
      <alignment horizontal="right" vertical="center"/>
    </xf>
    <xf numFmtId="0" fontId="24" fillId="0" borderId="11" xfId="0" applyFont="1" applyBorder="1" applyAlignment="1">
      <alignment horizontal="right" vertic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22" fillId="0" borderId="17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21" fillId="0" borderId="17" xfId="0" applyFont="1" applyBorder="1" applyAlignment="1">
      <alignment horizontal="right" vertical="center" wrapText="1"/>
    </xf>
    <xf numFmtId="0" fontId="21" fillId="0" borderId="5" xfId="0" applyFont="1" applyBorder="1" applyAlignment="1">
      <alignment horizontal="right" vertical="center"/>
    </xf>
    <xf numFmtId="0" fontId="21" fillId="0" borderId="6" xfId="0" applyFont="1" applyBorder="1" applyAlignment="1">
      <alignment horizontal="right" vertical="center"/>
    </xf>
    <xf numFmtId="0" fontId="21" fillId="0" borderId="7" xfId="0" applyFont="1" applyBorder="1" applyAlignment="1">
      <alignment horizontal="right" vertical="center"/>
    </xf>
    <xf numFmtId="0" fontId="21" fillId="0" borderId="0" xfId="0" applyFont="1" applyAlignment="1">
      <alignment horizontal="right" vertical="center"/>
    </xf>
    <xf numFmtId="0" fontId="21" fillId="0" borderId="8" xfId="0" applyFont="1" applyBorder="1" applyAlignment="1">
      <alignment horizontal="right" vertical="center"/>
    </xf>
    <xf numFmtId="0" fontId="21" fillId="0" borderId="9" xfId="0" applyFont="1" applyBorder="1" applyAlignment="1">
      <alignment horizontal="right" vertical="center"/>
    </xf>
    <xf numFmtId="0" fontId="21" fillId="0" borderId="10" xfId="0" applyFont="1" applyBorder="1" applyAlignment="1">
      <alignment horizontal="right" vertical="center"/>
    </xf>
    <xf numFmtId="0" fontId="21" fillId="0" borderId="11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0" fontId="8" fillId="0" borderId="11" xfId="0" applyFont="1" applyBorder="1" applyAlignment="1">
      <alignment horizontal="center" vertical="top"/>
    </xf>
    <xf numFmtId="0" fontId="3" fillId="0" borderId="17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9" fillId="0" borderId="17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 vertical="center"/>
    </xf>
    <xf numFmtId="164" fontId="17" fillId="2" borderId="4" xfId="0" applyNumberFormat="1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" fontId="17" fillId="2" borderId="2" xfId="0" applyNumberFormat="1" applyFont="1" applyFill="1" applyBorder="1" applyAlignment="1">
      <alignment horizontal="center" vertical="center"/>
    </xf>
    <xf numFmtId="1" fontId="17" fillId="2" borderId="4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/>
    <xf numFmtId="0" fontId="9" fillId="3" borderId="17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2" fontId="9" fillId="3" borderId="12" xfId="0" applyNumberFormat="1" applyFont="1" applyFill="1" applyBorder="1" applyAlignment="1">
      <alignment horizontal="center" vertical="center"/>
    </xf>
    <xf numFmtId="2" fontId="9" fillId="3" borderId="28" xfId="0" applyNumberFormat="1" applyFont="1" applyFill="1" applyBorder="1" applyAlignment="1">
      <alignment horizontal="center" vertical="center"/>
    </xf>
    <xf numFmtId="2" fontId="9" fillId="3" borderId="13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/>
    </xf>
    <xf numFmtId="0" fontId="4" fillId="0" borderId="10" xfId="0" applyFont="1" applyBorder="1" applyAlignment="1">
      <alignment horizontal="right"/>
    </xf>
    <xf numFmtId="0" fontId="23" fillId="0" borderId="17" xfId="0" applyFont="1" applyBorder="1" applyAlignment="1">
      <alignment horizontal="right" vertical="center"/>
    </xf>
    <xf numFmtId="0" fontId="23" fillId="0" borderId="5" xfId="0" applyFont="1" applyBorder="1" applyAlignment="1">
      <alignment horizontal="right" vertical="center"/>
    </xf>
    <xf numFmtId="0" fontId="23" fillId="0" borderId="6" xfId="0" applyFont="1" applyBorder="1" applyAlignment="1">
      <alignment horizontal="right" vertical="center"/>
    </xf>
    <xf numFmtId="0" fontId="23" fillId="0" borderId="7" xfId="0" applyFont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3" fillId="0" borderId="8" xfId="0" applyFont="1" applyBorder="1" applyAlignment="1">
      <alignment horizontal="right" vertical="center"/>
    </xf>
    <xf numFmtId="0" fontId="23" fillId="0" borderId="9" xfId="0" applyFont="1" applyBorder="1" applyAlignment="1">
      <alignment horizontal="right" vertical="center"/>
    </xf>
    <xf numFmtId="0" fontId="23" fillId="0" borderId="10" xfId="0" applyFont="1" applyBorder="1" applyAlignment="1">
      <alignment horizontal="right" vertical="center"/>
    </xf>
    <xf numFmtId="0" fontId="23" fillId="0" borderId="11" xfId="0" applyFont="1" applyBorder="1" applyAlignment="1">
      <alignment horizontal="right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EAFE41D-37BA-4E92-BC72-16F0CF0791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15</xdr:row>
      <xdr:rowOff>152400</xdr:rowOff>
    </xdr:from>
    <xdr:to>
      <xdr:col>16</xdr:col>
      <xdr:colOff>0</xdr:colOff>
      <xdr:row>15</xdr:row>
      <xdr:rowOff>171450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962025" y="5781675"/>
          <a:ext cx="13306425" cy="19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opLeftCell="A2" zoomScale="80" zoomScaleNormal="80" zoomScaleSheetLayoutView="90" workbookViewId="0">
      <selection activeCell="E5" sqref="E5"/>
    </sheetView>
  </sheetViews>
  <sheetFormatPr defaultColWidth="10.77734375" defaultRowHeight="14.4"/>
  <cols>
    <col min="6" max="6" width="16.109375" customWidth="1"/>
    <col min="7" max="7" width="21.5546875" customWidth="1"/>
    <col min="12" max="13" width="11.44140625" customWidth="1"/>
    <col min="14" max="14" width="27.6640625" customWidth="1"/>
  </cols>
  <sheetData>
    <row r="1" spans="1:17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4"/>
    </row>
    <row r="2" spans="1:17" ht="54.75" customHeight="1">
      <c r="A2" s="22"/>
      <c r="B2" s="25" t="s">
        <v>11</v>
      </c>
      <c r="C2" s="25" t="s">
        <v>12</v>
      </c>
      <c r="D2" s="26" t="s">
        <v>13</v>
      </c>
      <c r="E2" s="26" t="s">
        <v>14</v>
      </c>
      <c r="F2" s="25" t="s">
        <v>15</v>
      </c>
      <c r="G2" s="25" t="s">
        <v>16</v>
      </c>
      <c r="H2" s="23"/>
      <c r="I2" s="23"/>
      <c r="J2" s="23"/>
      <c r="K2" s="23"/>
      <c r="L2" s="23"/>
      <c r="M2" s="23"/>
      <c r="N2" s="23"/>
      <c r="O2" s="23"/>
      <c r="P2" s="23"/>
      <c r="Q2" s="24"/>
    </row>
    <row r="3" spans="1:17" ht="21">
      <c r="A3" s="22"/>
      <c r="B3" s="35" t="s">
        <v>0</v>
      </c>
      <c r="C3" s="36">
        <v>10</v>
      </c>
      <c r="D3" s="36">
        <v>40</v>
      </c>
      <c r="E3" s="36">
        <v>12</v>
      </c>
      <c r="F3" s="33">
        <f>C3*D3</f>
        <v>400</v>
      </c>
      <c r="G3" s="34">
        <f>F3*E3</f>
        <v>4800</v>
      </c>
      <c r="H3" s="23"/>
      <c r="I3" s="23"/>
      <c r="J3" s="23"/>
      <c r="K3" s="23"/>
      <c r="L3" s="23"/>
      <c r="M3" s="23"/>
      <c r="N3" s="23"/>
      <c r="O3" s="23"/>
      <c r="P3" s="23"/>
      <c r="Q3" s="24"/>
    </row>
    <row r="4" spans="1:17" ht="21.6" thickBot="1">
      <c r="A4" s="22"/>
      <c r="B4" s="39" t="s">
        <v>53</v>
      </c>
      <c r="C4" s="40">
        <v>5</v>
      </c>
      <c r="D4" s="40">
        <v>120</v>
      </c>
      <c r="E4" s="40">
        <v>12</v>
      </c>
      <c r="F4" s="33">
        <f>C4*D4</f>
        <v>600</v>
      </c>
      <c r="G4" s="34">
        <f>F4*E4</f>
        <v>7200</v>
      </c>
      <c r="H4" s="23"/>
      <c r="I4" s="23"/>
      <c r="J4" s="23"/>
      <c r="K4" s="23"/>
      <c r="L4" s="23"/>
      <c r="M4" s="23"/>
      <c r="N4" s="23"/>
      <c r="O4" s="23"/>
      <c r="P4" s="23"/>
      <c r="Q4" s="24"/>
    </row>
    <row r="5" spans="1:17" ht="23.4">
      <c r="A5" s="22"/>
      <c r="B5" s="35" t="s">
        <v>1</v>
      </c>
      <c r="C5" s="36">
        <v>0</v>
      </c>
      <c r="D5" s="36">
        <v>80</v>
      </c>
      <c r="E5" s="36">
        <v>6</v>
      </c>
      <c r="F5" s="33">
        <f>D5*C5</f>
        <v>0</v>
      </c>
      <c r="G5" s="34">
        <f>F5*E5</f>
        <v>0</v>
      </c>
      <c r="H5" s="23"/>
      <c r="I5" s="23"/>
      <c r="J5" s="23"/>
      <c r="K5" s="211"/>
      <c r="L5" s="212"/>
      <c r="M5" s="44">
        <v>24</v>
      </c>
      <c r="N5" s="45" t="s">
        <v>35</v>
      </c>
      <c r="O5" s="23"/>
      <c r="P5" s="23"/>
      <c r="Q5" s="24"/>
    </row>
    <row r="6" spans="1:17" ht="23.4">
      <c r="A6" s="22"/>
      <c r="B6" s="41" t="s">
        <v>5</v>
      </c>
      <c r="C6" s="42">
        <v>0</v>
      </c>
      <c r="D6" s="42">
        <v>20</v>
      </c>
      <c r="E6" s="42">
        <v>6</v>
      </c>
      <c r="F6" s="54">
        <f>D6*C6</f>
        <v>0</v>
      </c>
      <c r="G6" s="55">
        <f>F6*E6</f>
        <v>0</v>
      </c>
      <c r="H6" s="23"/>
      <c r="I6" s="23"/>
      <c r="J6" s="23"/>
      <c r="K6" s="212"/>
      <c r="L6" s="212"/>
      <c r="M6" s="46">
        <v>15</v>
      </c>
      <c r="N6" s="47" t="s">
        <v>44</v>
      </c>
      <c r="O6" s="23"/>
      <c r="P6" s="23"/>
      <c r="Q6" s="24"/>
    </row>
    <row r="7" spans="1:17" ht="23.4">
      <c r="A7" s="22"/>
      <c r="B7" s="35" t="s">
        <v>52</v>
      </c>
      <c r="C7" s="36">
        <v>0</v>
      </c>
      <c r="D7" s="36">
        <v>10</v>
      </c>
      <c r="E7" s="36"/>
      <c r="F7" s="54">
        <f>D7*C7</f>
        <v>0</v>
      </c>
      <c r="G7" s="55">
        <f t="shared" ref="G7:G13" si="0">F7*E7</f>
        <v>0</v>
      </c>
      <c r="H7" s="23"/>
      <c r="I7" s="23"/>
      <c r="J7" s="23"/>
      <c r="K7" s="212"/>
      <c r="L7" s="212"/>
      <c r="M7" s="48">
        <v>600</v>
      </c>
      <c r="N7" s="49" t="s">
        <v>45</v>
      </c>
      <c r="O7" s="23"/>
      <c r="P7" s="23"/>
      <c r="Q7" s="24"/>
    </row>
    <row r="8" spans="1:17" ht="23.4">
      <c r="A8" s="22"/>
      <c r="B8" s="39"/>
      <c r="C8" s="40"/>
      <c r="D8" s="40"/>
      <c r="E8" s="40"/>
      <c r="F8" s="54">
        <f t="shared" ref="F8:F13" si="1">D8*C8</f>
        <v>0</v>
      </c>
      <c r="G8" s="55">
        <f t="shared" si="0"/>
        <v>0</v>
      </c>
      <c r="H8" s="23"/>
      <c r="I8" s="23"/>
      <c r="J8" s="23"/>
      <c r="K8" s="212"/>
      <c r="L8" s="212"/>
      <c r="M8" s="46">
        <v>35</v>
      </c>
      <c r="N8" s="47" t="s">
        <v>46</v>
      </c>
      <c r="O8" s="23"/>
      <c r="P8" s="23"/>
      <c r="Q8" s="24"/>
    </row>
    <row r="9" spans="1:17" ht="23.4">
      <c r="A9" s="22"/>
      <c r="B9" s="35"/>
      <c r="C9" s="36"/>
      <c r="D9" s="36"/>
      <c r="E9" s="36"/>
      <c r="F9" s="54">
        <f t="shared" si="1"/>
        <v>0</v>
      </c>
      <c r="G9" s="55">
        <f t="shared" si="0"/>
        <v>0</v>
      </c>
      <c r="H9" s="23"/>
      <c r="I9" s="23"/>
      <c r="J9" s="23"/>
      <c r="K9" s="212"/>
      <c r="L9" s="212"/>
      <c r="M9" s="48">
        <v>200</v>
      </c>
      <c r="N9" s="49" t="s">
        <v>47</v>
      </c>
      <c r="O9" s="23"/>
      <c r="P9" s="23"/>
      <c r="Q9" s="24"/>
    </row>
    <row r="10" spans="1:17" ht="23.4">
      <c r="A10" s="22"/>
      <c r="B10" s="39"/>
      <c r="C10" s="40"/>
      <c r="D10" s="40"/>
      <c r="E10" s="40"/>
      <c r="F10" s="54">
        <f t="shared" si="1"/>
        <v>0</v>
      </c>
      <c r="G10" s="55">
        <f t="shared" si="0"/>
        <v>0</v>
      </c>
      <c r="H10" s="23"/>
      <c r="I10" s="23"/>
      <c r="J10" s="23"/>
      <c r="K10" s="212"/>
      <c r="L10" s="212"/>
      <c r="M10" s="46">
        <v>6</v>
      </c>
      <c r="N10" s="47" t="s">
        <v>38</v>
      </c>
      <c r="O10" s="23"/>
      <c r="P10" s="23"/>
      <c r="Q10" s="24"/>
    </row>
    <row r="11" spans="1:17" ht="23.4">
      <c r="A11" s="22"/>
      <c r="B11" s="35"/>
      <c r="C11" s="36"/>
      <c r="D11" s="36"/>
      <c r="E11" s="36"/>
      <c r="F11" s="54">
        <f t="shared" si="1"/>
        <v>0</v>
      </c>
      <c r="G11" s="55">
        <f t="shared" si="0"/>
        <v>0</v>
      </c>
      <c r="H11" s="23"/>
      <c r="I11" s="23"/>
      <c r="J11" s="23"/>
      <c r="K11" s="212"/>
      <c r="L11" s="212"/>
      <c r="M11" s="50">
        <v>0.8</v>
      </c>
      <c r="N11" s="51" t="s">
        <v>39</v>
      </c>
      <c r="O11" s="23"/>
      <c r="P11" s="23"/>
      <c r="Q11" s="24"/>
    </row>
    <row r="12" spans="1:17" ht="24" thickBot="1">
      <c r="A12" s="22"/>
      <c r="B12" s="39"/>
      <c r="C12" s="40"/>
      <c r="D12" s="40"/>
      <c r="E12" s="40"/>
      <c r="F12" s="54">
        <f t="shared" si="1"/>
        <v>0</v>
      </c>
      <c r="G12" s="55">
        <f t="shared" si="0"/>
        <v>0</v>
      </c>
      <c r="H12" s="23"/>
      <c r="I12" s="23"/>
      <c r="J12" s="23"/>
      <c r="K12" s="212"/>
      <c r="L12" s="212"/>
      <c r="M12" s="52">
        <v>1</v>
      </c>
      <c r="N12" s="53" t="s">
        <v>40</v>
      </c>
      <c r="O12" s="23"/>
      <c r="P12" s="23"/>
      <c r="Q12" s="24"/>
    </row>
    <row r="13" spans="1:17" ht="21.6" thickBot="1">
      <c r="A13" s="22"/>
      <c r="B13" s="37"/>
      <c r="C13" s="38"/>
      <c r="D13" s="38"/>
      <c r="E13" s="38"/>
      <c r="F13" s="54">
        <f t="shared" si="1"/>
        <v>0</v>
      </c>
      <c r="G13" s="55">
        <f t="shared" si="0"/>
        <v>0</v>
      </c>
      <c r="H13" s="23"/>
      <c r="I13" s="23"/>
      <c r="J13" s="23"/>
      <c r="K13" s="23"/>
      <c r="L13" s="23"/>
      <c r="M13" s="23"/>
      <c r="N13" s="23"/>
      <c r="O13" s="23"/>
      <c r="P13" s="23"/>
      <c r="Q13" s="24"/>
    </row>
    <row r="14" spans="1:17" ht="24" thickBot="1">
      <c r="A14" s="22"/>
      <c r="B14" s="23"/>
      <c r="C14" s="23"/>
      <c r="D14" s="23"/>
      <c r="E14" s="27" t="s">
        <v>2</v>
      </c>
      <c r="F14" s="28" t="s">
        <v>6</v>
      </c>
      <c r="G14" s="29" t="s">
        <v>7</v>
      </c>
      <c r="H14" s="23"/>
      <c r="I14" s="23"/>
      <c r="J14" s="23"/>
      <c r="K14" s="23"/>
      <c r="L14" s="23"/>
      <c r="M14" s="23"/>
      <c r="N14" s="23"/>
      <c r="O14" s="23"/>
      <c r="P14" s="23"/>
      <c r="Q14" s="24"/>
    </row>
    <row r="15" spans="1:17" ht="24" thickBot="1">
      <c r="A15" s="22"/>
      <c r="B15" s="23"/>
      <c r="C15" s="23"/>
      <c r="D15" s="23"/>
      <c r="E15" s="30"/>
      <c r="F15" s="31">
        <f>SUM(F3:F13)</f>
        <v>1000</v>
      </c>
      <c r="G15" s="29">
        <f>SUM(G3:G13)</f>
        <v>12000</v>
      </c>
      <c r="H15" s="23"/>
      <c r="I15" s="23"/>
      <c r="J15" s="23"/>
      <c r="K15" s="23"/>
      <c r="L15" s="23"/>
      <c r="M15" s="57"/>
      <c r="N15" s="207" t="s">
        <v>51</v>
      </c>
      <c r="O15" s="208"/>
      <c r="P15" s="23"/>
      <c r="Q15" s="24"/>
    </row>
    <row r="16" spans="1:17" ht="23.4">
      <c r="A16" s="22"/>
      <c r="B16" s="23"/>
      <c r="C16" s="23"/>
      <c r="D16" s="23"/>
      <c r="E16" s="30"/>
      <c r="F16" s="43"/>
      <c r="G16" s="43"/>
      <c r="H16" s="23"/>
      <c r="I16" s="23"/>
      <c r="J16" s="23"/>
      <c r="K16" s="23"/>
      <c r="L16" s="23"/>
      <c r="M16" s="23"/>
      <c r="N16" s="23"/>
      <c r="O16" s="23"/>
      <c r="P16" s="23"/>
      <c r="Q16" s="24"/>
    </row>
    <row r="17" spans="1:17" ht="23.4">
      <c r="A17" s="22"/>
      <c r="B17" s="23"/>
      <c r="C17" s="23"/>
      <c r="D17" s="23"/>
      <c r="E17" s="30"/>
      <c r="F17" s="43"/>
      <c r="G17" s="43"/>
      <c r="H17" s="23"/>
      <c r="I17" s="23"/>
      <c r="J17" s="23"/>
      <c r="K17" s="23"/>
      <c r="L17" s="23"/>
      <c r="M17" s="23"/>
      <c r="N17" s="23"/>
      <c r="O17" s="23"/>
      <c r="P17" s="23"/>
      <c r="Q17" s="24"/>
    </row>
    <row r="18" spans="1:17" ht="15" thickBot="1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</row>
    <row r="19" spans="1:17" ht="26.4" thickBot="1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09">
        <f>(G21/M10)/M7</f>
        <v>5.1282051282051277</v>
      </c>
      <c r="M19" s="210"/>
      <c r="N19" s="56" t="s">
        <v>36</v>
      </c>
      <c r="O19" s="23"/>
      <c r="P19" s="23"/>
      <c r="Q19" s="24"/>
    </row>
    <row r="20" spans="1:17" ht="26.4" thickBot="1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03">
        <f>(G21*M12)/(M11*M5)/M9</f>
        <v>4.8076923076923066</v>
      </c>
      <c r="M20" s="204"/>
      <c r="N20" s="56" t="s">
        <v>50</v>
      </c>
      <c r="O20" s="23"/>
      <c r="P20" s="23"/>
      <c r="Q20" s="24"/>
    </row>
    <row r="21" spans="1:17" ht="26.4" thickBot="1">
      <c r="A21" s="22"/>
      <c r="B21" s="213" t="s">
        <v>48</v>
      </c>
      <c r="C21" s="214"/>
      <c r="D21" s="215"/>
      <c r="E21" s="213" t="s">
        <v>37</v>
      </c>
      <c r="F21" s="215"/>
      <c r="G21" s="222">
        <f>G15/0.65</f>
        <v>18461.538461538461</v>
      </c>
      <c r="H21" s="23"/>
      <c r="I21" s="23"/>
      <c r="J21" s="23"/>
      <c r="K21" s="23"/>
      <c r="L21" s="205">
        <f>F15*1.3</f>
        <v>1300</v>
      </c>
      <c r="M21" s="206"/>
      <c r="N21" s="56" t="s">
        <v>42</v>
      </c>
      <c r="O21" s="23"/>
      <c r="P21" s="23"/>
      <c r="Q21" s="24"/>
    </row>
    <row r="22" spans="1:17" ht="26.4" thickBot="1">
      <c r="A22" s="22"/>
      <c r="B22" s="216"/>
      <c r="C22" s="217"/>
      <c r="D22" s="218"/>
      <c r="E22" s="216"/>
      <c r="F22" s="218"/>
      <c r="G22" s="223"/>
      <c r="H22" s="58" t="s">
        <v>19</v>
      </c>
      <c r="I22" s="23"/>
      <c r="J22" s="23"/>
      <c r="K22" s="23"/>
      <c r="L22" s="205">
        <f>(M8/M5)*(L19)*(M6)*1.3</f>
        <v>145.83333333333331</v>
      </c>
      <c r="M22" s="206"/>
      <c r="N22" s="56" t="s">
        <v>49</v>
      </c>
      <c r="O22" s="23"/>
      <c r="P22" s="23"/>
      <c r="Q22" s="24"/>
    </row>
    <row r="23" spans="1:17" ht="15" thickBot="1">
      <c r="A23" s="22"/>
      <c r="B23" s="219"/>
      <c r="C23" s="220"/>
      <c r="D23" s="221"/>
      <c r="E23" s="219"/>
      <c r="F23" s="221"/>
      <c r="G23" s="224"/>
      <c r="H23" s="23"/>
      <c r="I23" s="23"/>
      <c r="J23" s="23"/>
      <c r="K23" s="23"/>
      <c r="L23" s="23"/>
      <c r="M23" s="32"/>
      <c r="N23" s="23"/>
      <c r="O23" s="23"/>
      <c r="P23" s="23"/>
      <c r="Q23" s="24"/>
    </row>
  </sheetData>
  <mergeCells count="9">
    <mergeCell ref="B21:D23"/>
    <mergeCell ref="E21:F23"/>
    <mergeCell ref="G21:G23"/>
    <mergeCell ref="L21:M21"/>
    <mergeCell ref="L20:M20"/>
    <mergeCell ref="L22:M22"/>
    <mergeCell ref="N15:O15"/>
    <mergeCell ref="L19:M19"/>
    <mergeCell ref="K5:L12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I1:V146"/>
  <sheetViews>
    <sheetView tabSelected="1" topLeftCell="F1" workbookViewId="0">
      <selection activeCell="V108" sqref="V108"/>
    </sheetView>
  </sheetViews>
  <sheetFormatPr defaultColWidth="10.77734375" defaultRowHeight="14.4"/>
  <cols>
    <col min="14" max="14" width="14" customWidth="1"/>
    <col min="15" max="15" width="18.33203125" customWidth="1"/>
  </cols>
  <sheetData>
    <row r="1" spans="9:22" ht="15" thickBot="1"/>
    <row r="2" spans="9:22" ht="15" thickBot="1">
      <c r="I2" s="1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</row>
    <row r="3" spans="9:22" ht="24" customHeight="1">
      <c r="I3" s="3"/>
      <c r="L3" s="162" t="s">
        <v>9</v>
      </c>
      <c r="M3" s="163"/>
      <c r="N3" s="163"/>
      <c r="O3" s="163"/>
      <c r="P3" s="163"/>
      <c r="Q3" s="163"/>
      <c r="R3" s="164"/>
      <c r="V3" s="4"/>
    </row>
    <row r="4" spans="9:22" ht="15" customHeight="1">
      <c r="I4" s="3"/>
      <c r="L4" s="165"/>
      <c r="M4" s="166"/>
      <c r="N4" s="166"/>
      <c r="O4" s="166"/>
      <c r="P4" s="166"/>
      <c r="Q4" s="166"/>
      <c r="R4" s="167"/>
      <c r="V4" s="4"/>
    </row>
    <row r="5" spans="9:22" ht="15" customHeight="1" thickBot="1">
      <c r="I5" s="3"/>
      <c r="L5" s="168"/>
      <c r="M5" s="169"/>
      <c r="N5" s="169"/>
      <c r="O5" s="169"/>
      <c r="P5" s="169"/>
      <c r="Q5" s="169"/>
      <c r="R5" s="170"/>
      <c r="V5" s="4"/>
    </row>
    <row r="6" spans="9:22">
      <c r="I6" s="3"/>
      <c r="V6" s="4"/>
    </row>
    <row r="7" spans="9:22">
      <c r="I7" s="3"/>
      <c r="V7" s="4"/>
    </row>
    <row r="8" spans="9:22">
      <c r="I8" s="3"/>
      <c r="V8" s="4"/>
    </row>
    <row r="9" spans="9:22">
      <c r="I9" s="3"/>
      <c r="V9" s="4"/>
    </row>
    <row r="10" spans="9:22">
      <c r="I10" s="3"/>
      <c r="V10" s="4"/>
    </row>
    <row r="11" spans="9:22">
      <c r="I11" s="3"/>
      <c r="V11" s="4"/>
    </row>
    <row r="12" spans="9:22" ht="15" thickBot="1">
      <c r="I12" s="3"/>
      <c r="V12" s="4"/>
    </row>
    <row r="13" spans="9:22" ht="23.4" thickBot="1">
      <c r="I13" s="3"/>
      <c r="P13" s="171" t="s">
        <v>10</v>
      </c>
      <c r="Q13" s="172"/>
      <c r="R13" s="172"/>
      <c r="S13" s="172"/>
      <c r="T13" s="172"/>
      <c r="U13" s="173"/>
      <c r="V13" s="4"/>
    </row>
    <row r="14" spans="9:22">
      <c r="I14" s="3"/>
      <c r="V14" s="4"/>
    </row>
    <row r="15" spans="9:22">
      <c r="I15" s="3"/>
      <c r="V15" s="4"/>
    </row>
    <row r="16" spans="9:22">
      <c r="I16" s="3"/>
      <c r="V16" s="4"/>
    </row>
    <row r="17" spans="9:22">
      <c r="I17" s="3"/>
      <c r="V17" s="4"/>
    </row>
    <row r="18" spans="9:22" ht="42">
      <c r="I18" s="3"/>
      <c r="J18" s="59" t="s">
        <v>11</v>
      </c>
      <c r="K18" s="59" t="s">
        <v>12</v>
      </c>
      <c r="L18" s="60" t="s">
        <v>13</v>
      </c>
      <c r="M18" s="60" t="s">
        <v>14</v>
      </c>
      <c r="N18" s="59" t="s">
        <v>15</v>
      </c>
      <c r="O18" s="59" t="s">
        <v>16</v>
      </c>
      <c r="V18" s="4"/>
    </row>
    <row r="19" spans="9:22" ht="21">
      <c r="I19" s="3"/>
      <c r="J19" s="61" t="s">
        <v>0</v>
      </c>
      <c r="K19" s="62">
        <v>4</v>
      </c>
      <c r="L19" s="62">
        <v>10</v>
      </c>
      <c r="M19" s="62">
        <v>6</v>
      </c>
      <c r="N19" s="62">
        <f>K19*L19</f>
        <v>40</v>
      </c>
      <c r="O19" s="63">
        <f>N19*M19</f>
        <v>240</v>
      </c>
      <c r="V19" s="4"/>
    </row>
    <row r="20" spans="9:22" ht="21">
      <c r="I20" s="3"/>
      <c r="J20" s="61" t="s">
        <v>8</v>
      </c>
      <c r="K20" s="62">
        <v>1</v>
      </c>
      <c r="L20" s="62">
        <v>80</v>
      </c>
      <c r="M20" s="62">
        <v>4</v>
      </c>
      <c r="N20" s="62">
        <f>K20*L20</f>
        <v>80</v>
      </c>
      <c r="O20" s="63">
        <f>N20*M20</f>
        <v>320</v>
      </c>
      <c r="V20" s="4"/>
    </row>
    <row r="21" spans="9:22" ht="21">
      <c r="I21" s="3"/>
      <c r="J21" s="61" t="s">
        <v>1</v>
      </c>
      <c r="K21" s="62">
        <v>1</v>
      </c>
      <c r="L21" s="62">
        <v>80</v>
      </c>
      <c r="M21" s="62">
        <v>6</v>
      </c>
      <c r="N21" s="62">
        <f>L21*K21</f>
        <v>80</v>
      </c>
      <c r="O21" s="63">
        <f>N21*M21</f>
        <v>480</v>
      </c>
      <c r="V21" s="4"/>
    </row>
    <row r="22" spans="9:22" ht="21">
      <c r="I22" s="3"/>
      <c r="J22" s="64" t="s">
        <v>5</v>
      </c>
      <c r="K22" s="65">
        <v>1</v>
      </c>
      <c r="L22" s="65">
        <v>20</v>
      </c>
      <c r="M22" s="65">
        <v>6</v>
      </c>
      <c r="N22" s="65">
        <f>L22*K22</f>
        <v>20</v>
      </c>
      <c r="O22" s="66">
        <f>N22*M22</f>
        <v>120</v>
      </c>
      <c r="V22" s="4"/>
    </row>
    <row r="23" spans="9:22" ht="21">
      <c r="I23" s="3"/>
      <c r="J23" s="61"/>
      <c r="K23" s="62"/>
      <c r="L23" s="62"/>
      <c r="M23" s="62"/>
      <c r="N23" s="65">
        <f t="shared" ref="N23:N29" si="0">L23*K23</f>
        <v>0</v>
      </c>
      <c r="O23" s="66">
        <f t="shared" ref="O23:O29" si="1">N23*M23</f>
        <v>0</v>
      </c>
      <c r="V23" s="4"/>
    </row>
    <row r="24" spans="9:22" ht="21">
      <c r="I24" s="3"/>
      <c r="J24" s="61"/>
      <c r="K24" s="62"/>
      <c r="L24" s="62"/>
      <c r="M24" s="62"/>
      <c r="N24" s="65">
        <f t="shared" si="0"/>
        <v>0</v>
      </c>
      <c r="O24" s="66">
        <f t="shared" si="1"/>
        <v>0</v>
      </c>
      <c r="V24" s="4"/>
    </row>
    <row r="25" spans="9:22" ht="21">
      <c r="I25" s="3"/>
      <c r="J25" s="61"/>
      <c r="K25" s="62"/>
      <c r="L25" s="62"/>
      <c r="M25" s="62"/>
      <c r="N25" s="65">
        <f t="shared" si="0"/>
        <v>0</v>
      </c>
      <c r="O25" s="66">
        <f t="shared" si="1"/>
        <v>0</v>
      </c>
      <c r="V25" s="4"/>
    </row>
    <row r="26" spans="9:22" ht="21">
      <c r="I26" s="3"/>
      <c r="J26" s="61"/>
      <c r="K26" s="62"/>
      <c r="L26" s="62"/>
      <c r="M26" s="62"/>
      <c r="N26" s="65">
        <f t="shared" si="0"/>
        <v>0</v>
      </c>
      <c r="O26" s="66">
        <f t="shared" si="1"/>
        <v>0</v>
      </c>
      <c r="V26" s="4"/>
    </row>
    <row r="27" spans="9:22" ht="21">
      <c r="I27" s="3"/>
      <c r="J27" s="61"/>
      <c r="K27" s="62"/>
      <c r="L27" s="62"/>
      <c r="M27" s="62"/>
      <c r="N27" s="65">
        <f t="shared" si="0"/>
        <v>0</v>
      </c>
      <c r="O27" s="66">
        <f t="shared" si="1"/>
        <v>0</v>
      </c>
      <c r="V27" s="4"/>
    </row>
    <row r="28" spans="9:22" ht="21">
      <c r="I28" s="3"/>
      <c r="J28" s="61"/>
      <c r="K28" s="62"/>
      <c r="L28" s="62"/>
      <c r="M28" s="62"/>
      <c r="N28" s="65">
        <f t="shared" si="0"/>
        <v>0</v>
      </c>
      <c r="O28" s="66">
        <f t="shared" si="1"/>
        <v>0</v>
      </c>
      <c r="V28" s="4"/>
    </row>
    <row r="29" spans="9:22" ht="21.6" thickBot="1">
      <c r="I29" s="3"/>
      <c r="J29" s="67"/>
      <c r="K29" s="68"/>
      <c r="L29" s="68"/>
      <c r="M29" s="68"/>
      <c r="N29" s="65">
        <f t="shared" si="0"/>
        <v>0</v>
      </c>
      <c r="O29" s="66">
        <f t="shared" si="1"/>
        <v>0</v>
      </c>
      <c r="V29" s="4"/>
    </row>
    <row r="30" spans="9:22" ht="21.6" thickBot="1">
      <c r="I30" s="3"/>
      <c r="J30" s="69"/>
      <c r="K30" s="69"/>
      <c r="L30" s="69"/>
      <c r="M30" s="70" t="s">
        <v>2</v>
      </c>
      <c r="N30" s="71" t="s">
        <v>6</v>
      </c>
      <c r="O30" s="72" t="s">
        <v>7</v>
      </c>
      <c r="V30" s="4"/>
    </row>
    <row r="31" spans="9:22" ht="21.6" thickBot="1">
      <c r="I31" s="3"/>
      <c r="J31" s="69"/>
      <c r="K31" s="69"/>
      <c r="L31" s="69"/>
      <c r="M31" s="70"/>
      <c r="N31" s="73">
        <f>SUM(N19:N29)</f>
        <v>220</v>
      </c>
      <c r="O31" s="72">
        <f>SUM(O19:O29)</f>
        <v>1160</v>
      </c>
      <c r="R31" s="200">
        <f>N31*1.3</f>
        <v>286</v>
      </c>
      <c r="S31" s="201"/>
      <c r="T31" s="202"/>
      <c r="U31" t="s">
        <v>24</v>
      </c>
      <c r="V31" s="4"/>
    </row>
    <row r="32" spans="9:22">
      <c r="I32" s="3"/>
      <c r="V32" s="4"/>
    </row>
    <row r="33" spans="9:22" ht="15" thickBot="1">
      <c r="I33" s="5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7"/>
    </row>
    <row r="36" spans="9:22" ht="15" thickBot="1"/>
    <row r="37" spans="9:22" ht="15" thickBot="1">
      <c r="K37" s="17"/>
      <c r="L37" s="1"/>
      <c r="M37" s="1"/>
      <c r="N37" s="1"/>
      <c r="O37" s="1"/>
      <c r="P37" s="1"/>
      <c r="Q37" s="1"/>
      <c r="R37" s="1"/>
      <c r="S37" s="1"/>
      <c r="T37" s="1"/>
      <c r="U37" s="1"/>
      <c r="V37" s="2"/>
    </row>
    <row r="38" spans="9:22">
      <c r="K38" s="3"/>
      <c r="L38" s="174" t="s">
        <v>17</v>
      </c>
      <c r="M38" s="175"/>
      <c r="N38" s="175"/>
      <c r="O38" s="175"/>
      <c r="P38" s="175"/>
      <c r="Q38" s="175"/>
      <c r="R38" s="176"/>
      <c r="V38" s="4"/>
    </row>
    <row r="39" spans="9:22">
      <c r="K39" s="3"/>
      <c r="L39" s="177"/>
      <c r="M39" s="178"/>
      <c r="N39" s="178"/>
      <c r="O39" s="178"/>
      <c r="P39" s="178"/>
      <c r="Q39" s="178"/>
      <c r="R39" s="179"/>
      <c r="V39" s="4"/>
    </row>
    <row r="40" spans="9:22" ht="15" thickBot="1">
      <c r="K40" s="3"/>
      <c r="L40" s="180"/>
      <c r="M40" s="181"/>
      <c r="N40" s="181"/>
      <c r="O40" s="181"/>
      <c r="P40" s="181"/>
      <c r="Q40" s="181"/>
      <c r="R40" s="182"/>
      <c r="V40" s="4"/>
    </row>
    <row r="41" spans="9:22">
      <c r="K41" s="3"/>
      <c r="V41" s="4"/>
    </row>
    <row r="42" spans="9:22" ht="15" thickBot="1">
      <c r="K42" s="3"/>
      <c r="V42" s="4"/>
    </row>
    <row r="43" spans="9:22" ht="15" customHeight="1">
      <c r="K43" s="3"/>
      <c r="L43" s="183" t="s">
        <v>22</v>
      </c>
      <c r="M43" s="184"/>
      <c r="N43" s="184"/>
      <c r="O43" s="184"/>
      <c r="P43" s="184"/>
      <c r="Q43" s="184"/>
      <c r="R43" s="185"/>
      <c r="V43" s="4"/>
    </row>
    <row r="44" spans="9:22" ht="15" customHeight="1">
      <c r="K44" s="3"/>
      <c r="L44" s="186"/>
      <c r="M44" s="74"/>
      <c r="N44" s="74"/>
      <c r="O44" s="74"/>
      <c r="P44" s="74"/>
      <c r="Q44" s="74"/>
      <c r="R44" s="187"/>
      <c r="V44" s="4"/>
    </row>
    <row r="45" spans="9:22" ht="15.75" customHeight="1" thickBot="1">
      <c r="K45" s="3"/>
      <c r="L45" s="188"/>
      <c r="M45" s="189"/>
      <c r="N45" s="189"/>
      <c r="O45" s="189"/>
      <c r="P45" s="189"/>
      <c r="Q45" s="189"/>
      <c r="R45" s="190"/>
      <c r="V45" s="4"/>
    </row>
    <row r="46" spans="9:22">
      <c r="K46" s="3"/>
      <c r="V46" s="4"/>
    </row>
    <row r="47" spans="9:22" ht="15" thickBot="1">
      <c r="K47" s="3"/>
      <c r="V47" s="4"/>
    </row>
    <row r="48" spans="9:22" ht="24" thickBot="1">
      <c r="K48" s="3"/>
      <c r="N48" s="10" t="s">
        <v>18</v>
      </c>
      <c r="O48" s="11">
        <f>O31/0.65</f>
        <v>1784.6153846153845</v>
      </c>
      <c r="P48" s="18" t="s">
        <v>19</v>
      </c>
      <c r="V48" s="4"/>
    </row>
    <row r="49" spans="11:22" ht="15" thickBot="1">
      <c r="K49" s="5"/>
      <c r="L49" s="6"/>
      <c r="M49" s="6"/>
      <c r="N49" s="6"/>
      <c r="O49" s="6"/>
      <c r="P49" s="6"/>
      <c r="Q49" s="6"/>
      <c r="R49" s="6"/>
      <c r="S49" s="6"/>
      <c r="T49" s="6"/>
      <c r="U49" s="6"/>
      <c r="V49" s="7"/>
    </row>
    <row r="55" spans="11:22" ht="15" thickBot="1"/>
    <row r="56" spans="11:22">
      <c r="K56" s="17"/>
      <c r="L56" s="1"/>
      <c r="M56" s="1"/>
      <c r="N56" s="1"/>
      <c r="O56" s="1"/>
      <c r="P56" s="1"/>
      <c r="Q56" s="1"/>
      <c r="R56" s="1"/>
      <c r="S56" s="1"/>
      <c r="T56" s="1"/>
      <c r="U56" s="1"/>
      <c r="V56" s="2"/>
    </row>
    <row r="57" spans="11:22" ht="15" thickBot="1">
      <c r="K57" s="3"/>
      <c r="V57" s="4"/>
    </row>
    <row r="58" spans="11:22">
      <c r="K58" s="3"/>
      <c r="L58" s="191" t="s">
        <v>20</v>
      </c>
      <c r="M58" s="192"/>
      <c r="N58" s="192"/>
      <c r="O58" s="192"/>
      <c r="P58" s="192"/>
      <c r="Q58" s="192"/>
      <c r="R58" s="193"/>
      <c r="V58" s="4"/>
    </row>
    <row r="59" spans="11:22">
      <c r="K59" s="3"/>
      <c r="L59" s="194"/>
      <c r="M59" s="195"/>
      <c r="N59" s="195"/>
      <c r="O59" s="195"/>
      <c r="P59" s="195"/>
      <c r="Q59" s="195"/>
      <c r="R59" s="196"/>
      <c r="V59" s="4"/>
    </row>
    <row r="60" spans="11:22" ht="15" thickBot="1">
      <c r="K60" s="3"/>
      <c r="L60" s="197"/>
      <c r="M60" s="198"/>
      <c r="N60" s="198"/>
      <c r="O60" s="198"/>
      <c r="P60" s="198"/>
      <c r="Q60" s="198"/>
      <c r="R60" s="199"/>
      <c r="V60" s="4"/>
    </row>
    <row r="61" spans="11:22">
      <c r="K61" s="3"/>
      <c r="V61" s="4"/>
    </row>
    <row r="62" spans="11:22" ht="15" thickBot="1">
      <c r="K62" s="3"/>
      <c r="V62" s="4"/>
    </row>
    <row r="63" spans="11:22">
      <c r="K63" s="3"/>
      <c r="M63" s="125" t="s">
        <v>23</v>
      </c>
      <c r="N63" s="126"/>
      <c r="O63" s="126"/>
      <c r="P63" s="126"/>
      <c r="Q63" s="126"/>
      <c r="R63" s="126"/>
      <c r="S63" s="126"/>
      <c r="T63" s="126"/>
      <c r="U63" s="127"/>
      <c r="V63" s="4"/>
    </row>
    <row r="64" spans="11:22">
      <c r="K64" s="3"/>
      <c r="M64" s="128"/>
      <c r="N64" s="129"/>
      <c r="O64" s="129"/>
      <c r="P64" s="129"/>
      <c r="Q64" s="129"/>
      <c r="R64" s="129"/>
      <c r="S64" s="129"/>
      <c r="T64" s="129"/>
      <c r="U64" s="130"/>
      <c r="V64" s="4"/>
    </row>
    <row r="65" spans="11:22">
      <c r="K65" s="3"/>
      <c r="M65" s="128"/>
      <c r="N65" s="129"/>
      <c r="O65" s="129"/>
      <c r="P65" s="129"/>
      <c r="Q65" s="129"/>
      <c r="R65" s="129"/>
      <c r="S65" s="129"/>
      <c r="T65" s="129"/>
      <c r="U65" s="130"/>
      <c r="V65" s="4"/>
    </row>
    <row r="66" spans="11:22">
      <c r="K66" s="3"/>
      <c r="M66" s="128"/>
      <c r="N66" s="129"/>
      <c r="O66" s="129"/>
      <c r="P66" s="129"/>
      <c r="Q66" s="129"/>
      <c r="R66" s="129"/>
      <c r="S66" s="129"/>
      <c r="T66" s="129"/>
      <c r="U66" s="130"/>
      <c r="V66" s="4"/>
    </row>
    <row r="67" spans="11:22">
      <c r="K67" s="3"/>
      <c r="M67" s="128"/>
      <c r="N67" s="129"/>
      <c r="O67" s="129"/>
      <c r="P67" s="129"/>
      <c r="Q67" s="129"/>
      <c r="R67" s="129"/>
      <c r="S67" s="129"/>
      <c r="T67" s="129"/>
      <c r="U67" s="130"/>
      <c r="V67" s="4"/>
    </row>
    <row r="68" spans="11:22" ht="15" thickBot="1">
      <c r="K68" s="3"/>
      <c r="M68" s="131"/>
      <c r="N68" s="132"/>
      <c r="O68" s="132"/>
      <c r="P68" s="132"/>
      <c r="Q68" s="132"/>
      <c r="R68" s="132"/>
      <c r="S68" s="132"/>
      <c r="T68" s="132"/>
      <c r="U68" s="133"/>
      <c r="V68" s="4"/>
    </row>
    <row r="69" spans="11:22" ht="21.6" thickBot="1">
      <c r="K69" s="3"/>
      <c r="M69" s="12"/>
      <c r="N69" s="12"/>
      <c r="O69" s="12"/>
      <c r="P69" s="12"/>
      <c r="Q69" s="12"/>
      <c r="R69" s="12"/>
      <c r="S69" s="12"/>
      <c r="T69" s="12"/>
      <c r="U69" s="12"/>
      <c r="V69" s="4"/>
    </row>
    <row r="70" spans="11:22" ht="26.4" thickBot="1">
      <c r="K70" s="3"/>
      <c r="M70" s="12"/>
      <c r="N70" s="12"/>
      <c r="O70" s="12"/>
      <c r="P70" s="13" t="s">
        <v>26</v>
      </c>
      <c r="Q70" s="144">
        <f>O48/6</f>
        <v>297.4358974358974</v>
      </c>
      <c r="R70" s="145"/>
      <c r="S70" s="14" t="s">
        <v>24</v>
      </c>
      <c r="T70" s="12"/>
      <c r="U70" s="12"/>
      <c r="V70" s="4"/>
    </row>
    <row r="71" spans="11:22">
      <c r="K71" s="3"/>
      <c r="V71" s="4"/>
    </row>
    <row r="72" spans="11:22" ht="15" thickBot="1">
      <c r="K72" s="3"/>
      <c r="V72" s="4"/>
    </row>
    <row r="73" spans="11:22" ht="15" customHeight="1">
      <c r="K73" s="3"/>
      <c r="L73" s="135" t="s">
        <v>21</v>
      </c>
      <c r="M73" s="136"/>
      <c r="N73" s="136"/>
      <c r="O73" s="136"/>
      <c r="P73" s="136"/>
      <c r="Q73" s="136"/>
      <c r="R73" s="137"/>
      <c r="V73" s="4"/>
    </row>
    <row r="74" spans="11:22" ht="15.75" customHeight="1">
      <c r="K74" s="3"/>
      <c r="L74" s="138"/>
      <c r="M74" s="139"/>
      <c r="N74" s="139"/>
      <c r="O74" s="139"/>
      <c r="P74" s="139"/>
      <c r="Q74" s="139"/>
      <c r="R74" s="140"/>
      <c r="V74" s="4"/>
    </row>
    <row r="75" spans="11:22">
      <c r="K75" s="3"/>
      <c r="L75" s="138"/>
      <c r="M75" s="139"/>
      <c r="N75" s="139"/>
      <c r="O75" s="139"/>
      <c r="P75" s="139"/>
      <c r="Q75" s="139"/>
      <c r="R75" s="140"/>
      <c r="V75" s="4"/>
    </row>
    <row r="76" spans="11:22" ht="15" thickBot="1">
      <c r="K76" s="3"/>
      <c r="L76" s="141"/>
      <c r="M76" s="142"/>
      <c r="N76" s="142"/>
      <c r="O76" s="142"/>
      <c r="P76" s="142"/>
      <c r="Q76" s="142"/>
      <c r="R76" s="143"/>
      <c r="T76" s="134"/>
      <c r="U76" s="134"/>
      <c r="V76" s="4"/>
    </row>
    <row r="77" spans="11:22">
      <c r="K77" s="3"/>
      <c r="V77" s="4"/>
    </row>
    <row r="78" spans="11:22" ht="15" thickBot="1">
      <c r="K78" s="3"/>
      <c r="V78" s="4"/>
    </row>
    <row r="79" spans="11:22" ht="21.6" thickBot="1">
      <c r="K79" s="3"/>
      <c r="O79" s="15" t="s">
        <v>28</v>
      </c>
      <c r="P79" s="16">
        <f>Q70/T80</f>
        <v>0.50412863972185995</v>
      </c>
      <c r="T79" s="101" t="s">
        <v>25</v>
      </c>
      <c r="U79" s="102"/>
      <c r="V79" s="4"/>
    </row>
    <row r="80" spans="11:22" ht="18.600000000000001" thickBot="1">
      <c r="K80" s="3"/>
      <c r="T80" s="103">
        <v>590</v>
      </c>
      <c r="U80" s="76"/>
      <c r="V80" s="4"/>
    </row>
    <row r="81" spans="11:22" ht="15" thickBot="1">
      <c r="K81" s="3"/>
      <c r="V81" s="4"/>
    </row>
    <row r="82" spans="11:22">
      <c r="K82" s="3"/>
      <c r="L82" s="104"/>
      <c r="M82" s="105"/>
      <c r="N82" s="105"/>
      <c r="O82" s="105"/>
      <c r="P82" s="105"/>
      <c r="Q82" s="105"/>
      <c r="R82" s="106"/>
      <c r="V82" s="4"/>
    </row>
    <row r="83" spans="11:22">
      <c r="K83" s="3"/>
      <c r="L83" s="107"/>
      <c r="M83" s="108"/>
      <c r="N83" s="108"/>
      <c r="O83" s="108"/>
      <c r="P83" s="108"/>
      <c r="Q83" s="108"/>
      <c r="R83" s="109"/>
      <c r="V83" s="4"/>
    </row>
    <row r="84" spans="11:22" ht="15" thickBot="1">
      <c r="K84" s="3"/>
      <c r="L84" s="110"/>
      <c r="M84" s="111"/>
      <c r="N84" s="111"/>
      <c r="O84" s="111"/>
      <c r="P84" s="111"/>
      <c r="Q84" s="111"/>
      <c r="R84" s="112"/>
      <c r="V84" s="4"/>
    </row>
    <row r="85" spans="11:22">
      <c r="K85" s="3"/>
      <c r="V85" s="4"/>
    </row>
    <row r="86" spans="11:22" ht="15" thickBot="1">
      <c r="K86" s="5"/>
      <c r="L86" s="6"/>
      <c r="M86" s="6"/>
      <c r="N86" s="6"/>
      <c r="O86" s="6"/>
      <c r="P86" s="6"/>
      <c r="Q86" s="6"/>
      <c r="R86" s="6"/>
      <c r="S86" s="6"/>
      <c r="T86" s="6"/>
      <c r="U86" s="6"/>
      <c r="V86" s="7"/>
    </row>
    <row r="88" spans="11:22" ht="15" thickBot="1"/>
    <row r="89" spans="11:22" ht="15" thickBot="1">
      <c r="K89" s="17"/>
      <c r="L89" s="1"/>
      <c r="M89" s="1"/>
      <c r="N89" s="1"/>
      <c r="O89" s="1"/>
      <c r="P89" s="1"/>
      <c r="Q89" s="1"/>
      <c r="R89" s="1"/>
      <c r="S89" s="1"/>
      <c r="T89" s="1"/>
      <c r="U89" s="1"/>
      <c r="V89" s="2"/>
    </row>
    <row r="90" spans="11:22">
      <c r="K90" s="3"/>
      <c r="N90" s="113" t="s">
        <v>29</v>
      </c>
      <c r="O90" s="114"/>
      <c r="P90" s="114"/>
      <c r="Q90" s="114"/>
      <c r="R90" s="115"/>
      <c r="V90" s="4"/>
    </row>
    <row r="91" spans="11:22">
      <c r="K91" s="3"/>
      <c r="N91" s="116"/>
      <c r="O91" s="117"/>
      <c r="P91" s="117"/>
      <c r="Q91" s="117"/>
      <c r="R91" s="118"/>
      <c r="V91" s="4"/>
    </row>
    <row r="92" spans="11:22" ht="15" thickBot="1">
      <c r="K92" s="3"/>
      <c r="N92" s="119"/>
      <c r="O92" s="120"/>
      <c r="P92" s="120"/>
      <c r="Q92" s="120"/>
      <c r="R92" s="121"/>
      <c r="V92" s="4"/>
    </row>
    <row r="93" spans="11:22">
      <c r="K93" s="3"/>
      <c r="V93" s="4"/>
    </row>
    <row r="94" spans="11:22">
      <c r="K94" s="3"/>
      <c r="V94" s="4"/>
    </row>
    <row r="95" spans="11:22">
      <c r="K95" s="3"/>
      <c r="V95" s="4"/>
    </row>
    <row r="96" spans="11:22" ht="15" thickBot="1">
      <c r="K96" s="3"/>
      <c r="V96" s="4"/>
    </row>
    <row r="97" spans="11:22" ht="16.2" thickBot="1">
      <c r="K97" s="3"/>
      <c r="M97" s="122" t="s">
        <v>3</v>
      </c>
      <c r="N97" s="123"/>
      <c r="O97" s="123"/>
      <c r="P97" s="123"/>
      <c r="Q97" s="123"/>
      <c r="R97" s="124"/>
      <c r="V97" s="4"/>
    </row>
    <row r="98" spans="11:22" ht="15" thickBot="1">
      <c r="K98" s="3"/>
      <c r="M98" s="8"/>
      <c r="N98" s="9"/>
      <c r="O98" s="9"/>
      <c r="P98" s="9"/>
      <c r="Q98" s="9"/>
      <c r="R98" s="4"/>
      <c r="V98" s="4"/>
    </row>
    <row r="99" spans="11:22" ht="15" customHeight="1">
      <c r="K99" s="3"/>
      <c r="M99" s="149" t="s">
        <v>4</v>
      </c>
      <c r="N99" s="150"/>
      <c r="O99" s="153" t="s">
        <v>30</v>
      </c>
      <c r="P99" s="154"/>
      <c r="Q99" s="154"/>
      <c r="R99" s="155"/>
      <c r="V99" s="4"/>
    </row>
    <row r="100" spans="11:22" ht="15" customHeight="1" thickBot="1">
      <c r="K100" s="3"/>
      <c r="M100" s="151"/>
      <c r="N100" s="152"/>
      <c r="O100" s="156"/>
      <c r="P100" s="157"/>
      <c r="Q100" s="157"/>
      <c r="R100" s="158"/>
      <c r="V100" s="4"/>
    </row>
    <row r="101" spans="11:22" ht="15" customHeight="1">
      <c r="K101" s="3"/>
      <c r="M101" s="3"/>
      <c r="O101" s="156"/>
      <c r="P101" s="157"/>
      <c r="Q101" s="157"/>
      <c r="R101" s="158"/>
      <c r="V101" s="4"/>
    </row>
    <row r="102" spans="11:22" ht="15" customHeight="1">
      <c r="K102" s="3"/>
      <c r="M102" s="3"/>
      <c r="O102" s="156"/>
      <c r="P102" s="157"/>
      <c r="Q102" s="157"/>
      <c r="R102" s="158"/>
      <c r="V102" s="4"/>
    </row>
    <row r="103" spans="11:22" ht="15" customHeight="1">
      <c r="K103" s="3"/>
      <c r="M103" s="3"/>
      <c r="O103" s="156"/>
      <c r="P103" s="157"/>
      <c r="Q103" s="157"/>
      <c r="R103" s="158"/>
      <c r="V103" s="4"/>
    </row>
    <row r="104" spans="11:22" ht="13.5" customHeight="1" thickBot="1">
      <c r="K104" s="3"/>
      <c r="M104" s="3"/>
      <c r="O104" s="159"/>
      <c r="P104" s="160"/>
      <c r="Q104" s="160"/>
      <c r="R104" s="161"/>
      <c r="V104" s="4"/>
    </row>
    <row r="105" spans="11:22">
      <c r="K105" s="3"/>
      <c r="M105" s="3"/>
      <c r="R105" s="4"/>
      <c r="V105" s="4"/>
    </row>
    <row r="106" spans="11:22" ht="49.5" customHeight="1">
      <c r="K106" s="3"/>
      <c r="M106" s="3"/>
      <c r="R106" s="4"/>
      <c r="V106" s="4"/>
    </row>
    <row r="107" spans="11:22" ht="38.25" customHeight="1" thickBot="1">
      <c r="K107" s="3"/>
      <c r="M107" s="146">
        <f>(O48*2)/(0.8*24)</f>
        <v>185.89743589743586</v>
      </c>
      <c r="N107" s="147"/>
      <c r="O107" s="147"/>
      <c r="P107" s="148"/>
      <c r="Q107" s="226">
        <v>185.83</v>
      </c>
      <c r="R107" s="225" t="s">
        <v>54</v>
      </c>
      <c r="V107" s="4"/>
    </row>
    <row r="108" spans="11:22">
      <c r="K108" s="3"/>
      <c r="V108" s="4"/>
    </row>
    <row r="109" spans="11:22" ht="15" thickBot="1">
      <c r="K109" s="3"/>
      <c r="V109" s="4"/>
    </row>
    <row r="110" spans="11:22" ht="15" customHeight="1">
      <c r="K110" s="3"/>
      <c r="O110" s="227" t="s">
        <v>31</v>
      </c>
      <c r="P110" s="228"/>
      <c r="Q110" s="228"/>
      <c r="R110" s="228"/>
      <c r="S110" s="228"/>
      <c r="T110" s="228"/>
      <c r="U110" s="229"/>
      <c r="V110" s="4"/>
    </row>
    <row r="111" spans="11:22" ht="15" customHeight="1">
      <c r="K111" s="3"/>
      <c r="O111" s="230"/>
      <c r="P111" s="231"/>
      <c r="Q111" s="231"/>
      <c r="R111" s="231"/>
      <c r="S111" s="231"/>
      <c r="T111" s="231"/>
      <c r="U111" s="232"/>
      <c r="V111" s="4"/>
    </row>
    <row r="112" spans="11:22" ht="15" customHeight="1">
      <c r="K112" s="3"/>
      <c r="O112" s="230"/>
      <c r="P112" s="231"/>
      <c r="Q112" s="231"/>
      <c r="R112" s="231"/>
      <c r="S112" s="231"/>
      <c r="T112" s="231"/>
      <c r="U112" s="232"/>
      <c r="V112" s="4"/>
    </row>
    <row r="113" spans="11:22">
      <c r="K113" s="3"/>
      <c r="O113" s="230"/>
      <c r="P113" s="231"/>
      <c r="Q113" s="231"/>
      <c r="R113" s="231"/>
      <c r="S113" s="231"/>
      <c r="T113" s="231"/>
      <c r="U113" s="232"/>
      <c r="V113" s="4"/>
    </row>
    <row r="114" spans="11:22">
      <c r="K114" s="3"/>
      <c r="O114" s="230"/>
      <c r="P114" s="231"/>
      <c r="Q114" s="231"/>
      <c r="R114" s="231"/>
      <c r="S114" s="231"/>
      <c r="T114" s="231"/>
      <c r="U114" s="232"/>
      <c r="V114" s="4"/>
    </row>
    <row r="115" spans="11:22" ht="15" thickBot="1">
      <c r="K115" s="3"/>
      <c r="O115" s="233"/>
      <c r="P115" s="234"/>
      <c r="Q115" s="234"/>
      <c r="R115" s="234"/>
      <c r="S115" s="234"/>
      <c r="T115" s="234"/>
      <c r="U115" s="235"/>
      <c r="V115" s="4"/>
    </row>
    <row r="116" spans="11:22">
      <c r="K116" s="3"/>
      <c r="V116" s="4"/>
    </row>
    <row r="117" spans="11:22" ht="17.25" customHeight="1" thickBot="1">
      <c r="K117" s="3"/>
      <c r="V117" s="4"/>
    </row>
    <row r="118" spans="11:22" ht="23.25" customHeight="1" thickBot="1">
      <c r="K118" s="3"/>
      <c r="R118" s="20">
        <v>80</v>
      </c>
      <c r="S118" s="75" t="s">
        <v>33</v>
      </c>
      <c r="T118" s="76"/>
      <c r="U118" s="19"/>
      <c r="V118" s="4"/>
    </row>
    <row r="119" spans="11:22">
      <c r="K119" s="3"/>
      <c r="V119" s="4"/>
    </row>
    <row r="120" spans="11:22">
      <c r="K120" s="3"/>
      <c r="O120" s="74" t="s">
        <v>32</v>
      </c>
      <c r="P120" s="74"/>
      <c r="Q120" s="74"/>
      <c r="R120" s="74"/>
      <c r="S120" s="74"/>
      <c r="T120" s="74"/>
      <c r="U120" s="74"/>
      <c r="V120" s="4"/>
    </row>
    <row r="121" spans="11:22">
      <c r="K121" s="3"/>
      <c r="O121" s="74"/>
      <c r="P121" s="74"/>
      <c r="Q121" s="74"/>
      <c r="R121" s="74"/>
      <c r="S121" s="74"/>
      <c r="T121" s="74"/>
      <c r="U121" s="74"/>
      <c r="V121" s="4"/>
    </row>
    <row r="122" spans="11:22">
      <c r="K122" s="3"/>
      <c r="O122" s="74"/>
      <c r="P122" s="74"/>
      <c r="Q122" s="74"/>
      <c r="R122" s="74"/>
      <c r="S122" s="74"/>
      <c r="T122" s="74"/>
      <c r="U122" s="74"/>
      <c r="V122" s="4"/>
    </row>
    <row r="123" spans="11:22">
      <c r="K123" s="3"/>
      <c r="V123" s="4"/>
    </row>
    <row r="124" spans="11:22" ht="25.8">
      <c r="K124" s="3"/>
      <c r="Q124" s="21" t="s">
        <v>27</v>
      </c>
      <c r="R124" s="21">
        <f>Q107/R118</f>
        <v>2.3228750000000002</v>
      </c>
      <c r="V124" s="4"/>
    </row>
    <row r="125" spans="11:22">
      <c r="K125" s="3"/>
      <c r="V125" s="4"/>
    </row>
    <row r="126" spans="11:22" ht="15" thickBot="1">
      <c r="K126" s="3"/>
      <c r="V126" s="4"/>
    </row>
    <row r="127" spans="11:22">
      <c r="K127" s="3"/>
      <c r="O127" s="77" t="s">
        <v>41</v>
      </c>
      <c r="P127" s="78"/>
      <c r="Q127" s="78"/>
      <c r="R127" s="78"/>
      <c r="S127" s="78"/>
      <c r="T127" s="78"/>
      <c r="U127" s="79"/>
      <c r="V127" s="4"/>
    </row>
    <row r="128" spans="11:22">
      <c r="K128" s="3"/>
      <c r="O128" s="80"/>
      <c r="P128" s="81"/>
      <c r="Q128" s="81"/>
      <c r="R128" s="81"/>
      <c r="S128" s="81"/>
      <c r="T128" s="81"/>
      <c r="U128" s="82"/>
      <c r="V128" s="4"/>
    </row>
    <row r="129" spans="11:22">
      <c r="K129" s="3"/>
      <c r="O129" s="80"/>
      <c r="P129" s="81"/>
      <c r="Q129" s="81"/>
      <c r="R129" s="81"/>
      <c r="S129" s="81"/>
      <c r="T129" s="81"/>
      <c r="U129" s="82"/>
      <c r="V129" s="4"/>
    </row>
    <row r="130" spans="11:22" ht="15" thickBot="1">
      <c r="K130" s="3"/>
      <c r="O130" s="83"/>
      <c r="P130" s="84"/>
      <c r="Q130" s="84"/>
      <c r="R130" s="84"/>
      <c r="S130" s="84"/>
      <c r="T130" s="84"/>
      <c r="U130" s="85"/>
      <c r="V130" s="4"/>
    </row>
    <row r="131" spans="11:22">
      <c r="K131" s="3"/>
      <c r="V131" s="4"/>
    </row>
    <row r="132" spans="11:22" ht="15" thickBot="1">
      <c r="K132" s="5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7"/>
    </row>
    <row r="135" spans="11:22" ht="15" thickBot="1"/>
    <row r="136" spans="11:22">
      <c r="O136" s="86" t="s">
        <v>34</v>
      </c>
      <c r="P136" s="87"/>
      <c r="Q136" s="87"/>
      <c r="R136" s="88"/>
    </row>
    <row r="137" spans="11:22" ht="15" thickBot="1">
      <c r="O137" s="89"/>
      <c r="P137" s="90"/>
      <c r="Q137" s="90"/>
      <c r="R137" s="91"/>
    </row>
    <row r="139" spans="11:22" ht="15" thickBot="1"/>
    <row r="140" spans="11:22">
      <c r="N140" s="92" t="s">
        <v>43</v>
      </c>
      <c r="O140" s="93"/>
      <c r="P140" s="93"/>
      <c r="Q140" s="93"/>
      <c r="R140" s="93"/>
      <c r="S140" s="93"/>
      <c r="T140" s="93"/>
      <c r="U140" s="94"/>
    </row>
    <row r="141" spans="11:22">
      <c r="N141" s="95"/>
      <c r="O141" s="96"/>
      <c r="P141" s="96"/>
      <c r="Q141" s="96"/>
      <c r="R141" s="96"/>
      <c r="S141" s="96"/>
      <c r="T141" s="96"/>
      <c r="U141" s="97"/>
    </row>
    <row r="142" spans="11:22">
      <c r="N142" s="95"/>
      <c r="O142" s="96"/>
      <c r="P142" s="96"/>
      <c r="Q142" s="96"/>
      <c r="R142" s="96"/>
      <c r="S142" s="96"/>
      <c r="T142" s="96"/>
      <c r="U142" s="97"/>
    </row>
    <row r="143" spans="11:22">
      <c r="N143" s="95"/>
      <c r="O143" s="96"/>
      <c r="P143" s="96"/>
      <c r="Q143" s="96"/>
      <c r="R143" s="96"/>
      <c r="S143" s="96"/>
      <c r="T143" s="96"/>
      <c r="U143" s="97"/>
    </row>
    <row r="144" spans="11:22">
      <c r="N144" s="95"/>
      <c r="O144" s="96"/>
      <c r="P144" s="96"/>
      <c r="Q144" s="96"/>
      <c r="R144" s="96"/>
      <c r="S144" s="96"/>
      <c r="T144" s="96"/>
      <c r="U144" s="97"/>
    </row>
    <row r="145" spans="14:21">
      <c r="N145" s="95"/>
      <c r="O145" s="96"/>
      <c r="P145" s="96"/>
      <c r="Q145" s="96"/>
      <c r="R145" s="96"/>
      <c r="S145" s="96"/>
      <c r="T145" s="96"/>
      <c r="U145" s="97"/>
    </row>
    <row r="146" spans="14:21" ht="15" thickBot="1">
      <c r="N146" s="98"/>
      <c r="O146" s="99"/>
      <c r="P146" s="99"/>
      <c r="Q146" s="99"/>
      <c r="R146" s="99"/>
      <c r="S146" s="99"/>
      <c r="T146" s="99"/>
      <c r="U146" s="100"/>
    </row>
  </sheetData>
  <mergeCells count="24">
    <mergeCell ref="L3:R5"/>
    <mergeCell ref="P13:U13"/>
    <mergeCell ref="L38:R40"/>
    <mergeCell ref="L43:R45"/>
    <mergeCell ref="L58:R60"/>
    <mergeCell ref="R31:T31"/>
    <mergeCell ref="M63:U68"/>
    <mergeCell ref="T76:U76"/>
    <mergeCell ref="L73:R76"/>
    <mergeCell ref="Q70:R70"/>
    <mergeCell ref="M107:P107"/>
    <mergeCell ref="M99:N100"/>
    <mergeCell ref="O99:R104"/>
    <mergeCell ref="O110:U115"/>
    <mergeCell ref="T79:U79"/>
    <mergeCell ref="T80:U80"/>
    <mergeCell ref="L82:R84"/>
    <mergeCell ref="N90:R92"/>
    <mergeCell ref="M97:R97"/>
    <mergeCell ref="O120:U122"/>
    <mergeCell ref="S118:T118"/>
    <mergeCell ref="O127:U130"/>
    <mergeCell ref="O136:R137"/>
    <mergeCell ref="N140:U146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Feuil3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حساب الطاقة الشمسية</dc:title>
  <dc:creator/>
  <cp:keywords>electrobrahim</cp:keywords>
  <cp:lastModifiedBy/>
  <dcterms:created xsi:type="dcterms:W3CDTF">2006-09-12T15:06:44Z</dcterms:created>
  <dcterms:modified xsi:type="dcterms:W3CDTF">2026-07-18T11:10:00Z</dcterms:modified>
</cp:coreProperties>
</file>